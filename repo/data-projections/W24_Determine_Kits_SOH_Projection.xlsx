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ermine Kits SOH Projec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<sst xmlns="http://schemas.openxmlformats.org/spreadsheetml/2006/main" count="63" uniqueCount="63">
  <si>
    <t xml:space="preserve">ECEWS ACE-5 — Determine Test Kits: W24 SOH + Supply Projection</t>
  </si>
  <si>
    <t xml:space="preserve">Lagos State Health Facilities — Projected Stock on Hand After Supply Distribution</t>
  </si>
  <si>
    <t xml:space="preserve">Health Facility</t>
  </si>
  <si>
    <t xml:space="preserve">W24 SOH (Determine Test Kits)</t>
  </si>
  <si>
    <t xml:space="preserve">Quantity Supplied</t>
  </si>
  <si>
    <t xml:space="preserve">Projected SOH (W24 + Supply)</t>
  </si>
  <si>
    <t xml:space="preserve">Orile Agege General Hospital</t>
  </si>
  <si>
    <t xml:space="preserve">Lagos State Mainland Hospital</t>
  </si>
  <si>
    <t xml:space="preserve">Nigerian Institute of Medical Research (NIMR)</t>
  </si>
  <si>
    <t xml:space="preserve">Ikorodu General Hospital</t>
  </si>
  <si>
    <t xml:space="preserve">Randle General Hospital</t>
  </si>
  <si>
    <t xml:space="preserve">Lagos General Hospital</t>
  </si>
  <si>
    <t xml:space="preserve">Shomolu General Hospital</t>
  </si>
  <si>
    <t xml:space="preserve">Harvey Road General Hospital</t>
  </si>
  <si>
    <t xml:space="preserve">Badagry General Hospital</t>
  </si>
  <si>
    <t xml:space="preserve">Ajeromi General Hospital</t>
  </si>
  <si>
    <t xml:space="preserve">Sango Primary Health Centre</t>
  </si>
  <si>
    <t xml:space="preserve">Apapa General Hospital</t>
  </si>
  <si>
    <t xml:space="preserve">Simpson Primary Health Centre</t>
  </si>
  <si>
    <t xml:space="preserve">Gbagada General Hospital</t>
  </si>
  <si>
    <t xml:space="preserve">Ojo Primary Health Centre</t>
  </si>
  <si>
    <t xml:space="preserve">Ijora Primary Health Centre</t>
  </si>
  <si>
    <t xml:space="preserve">Ketu Primary Health Centre</t>
  </si>
  <si>
    <t xml:space="preserve">Odunbaku Primary Health Centre</t>
  </si>
  <si>
    <t xml:space="preserve">Coker Aguda Primary Health Centre</t>
  </si>
  <si>
    <t xml:space="preserve">RCCG-Redeemed Aid Programme Action Committee CSO (Lagos)</t>
  </si>
  <si>
    <t xml:space="preserve">Mobonike Hospital</t>
  </si>
  <si>
    <t xml:space="preserve">Ajara Primary Health Centre</t>
  </si>
  <si>
    <t xml:space="preserve">Layeni Primary Health Centre</t>
  </si>
  <si>
    <t xml:space="preserve">Ijede General Hospital</t>
  </si>
  <si>
    <t xml:space="preserve">Onikan General Hospital</t>
  </si>
  <si>
    <t xml:space="preserve">Mayfair Medical Centre</t>
  </si>
  <si>
    <t xml:space="preserve">Dunia Hospital</t>
  </si>
  <si>
    <t xml:space="preserve">Baruwa Primary Health Centre</t>
  </si>
  <si>
    <t xml:space="preserve">Ejire Primary Health Centre</t>
  </si>
  <si>
    <t xml:space="preserve">Akerele Primary Health Centre</t>
  </si>
  <si>
    <t xml:space="preserve">Massey Street Childrens Hospital</t>
  </si>
  <si>
    <t xml:space="preserve">Lagos Island Maternity Hospital</t>
  </si>
  <si>
    <t xml:space="preserve">St Raphael Divine Mercy Specialist Hospital</t>
  </si>
  <si>
    <t xml:space="preserve">Powerline Primary Health Centre</t>
  </si>
  <si>
    <t xml:space="preserve">Unita Hospital</t>
  </si>
  <si>
    <t xml:space="preserve">Iba Primary Health Centre</t>
  </si>
  <si>
    <t xml:space="preserve">Promise Medical Centre</t>
  </si>
  <si>
    <t xml:space="preserve">Tolu Primary Health Centre</t>
  </si>
  <si>
    <t xml:space="preserve">Olojowon Primary Health Centre</t>
  </si>
  <si>
    <t xml:space="preserve">Amukoko Primary Health Centre</t>
  </si>
  <si>
    <t xml:space="preserve">Sura Primary Health Centre</t>
  </si>
  <si>
    <t xml:space="preserve">Ijanikin Primary Health Centre</t>
  </si>
  <si>
    <t xml:space="preserve">Ilado Primary Health Centre</t>
  </si>
  <si>
    <t xml:space="preserve">Apa Primary Health Centre</t>
  </si>
  <si>
    <t xml:space="preserve">Ahamadiyya Muslim Hospital</t>
  </si>
  <si>
    <t xml:space="preserve">Sacred Heart Clinic</t>
  </si>
  <si>
    <t xml:space="preserve">Oyems Hospital</t>
  </si>
  <si>
    <t xml:space="preserve">St. Mill Hospital</t>
  </si>
  <si>
    <t xml:space="preserve">Akere Primary Health Centre</t>
  </si>
  <si>
    <t xml:space="preserve">DEETAB Hospital</t>
  </si>
  <si>
    <t xml:space="preserve">All Souls Hospital</t>
  </si>
  <si>
    <t xml:space="preserve">Faleti Medical Centre</t>
  </si>
  <si>
    <t xml:space="preserve">Ibafon Primary Health Centre</t>
  </si>
  <si>
    <t xml:space="preserve">Seme Primary Health Centre</t>
  </si>
  <si>
    <t xml:space="preserve">Iga Idugaran Primary Health Centre</t>
  </si>
  <si>
    <t xml:space="preserve">TOTAL — ALL 54 FACILITIES</t>
  </si>
  <si>
    <t xml:space="preserve">Note: Federal Medical Centre Ebute-Metta not included — not part of the 55-facility ACE-5 reporting network (supply qty was 0 regardless).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</si>
</sst>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7A7F9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6B5A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DCDCDC"/>
        <bgColor rgb="FFD8D4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8D4CC"/>
      </left>
      <right style="thin">
        <color rgb="FFD8D4CC"/>
      </right>
      <top style="thin">
        <color rgb="FFD8D4CC"/>
      </top>
      <bottom style="thin">
        <color rgb="FFD8D4CC"/>
      </bottom>
      <diagonal/>
    </border>
    <border diagonalUp="false" diagonalDown="false">
      <left/>
      <right/>
      <top style="double">
        <color rgb="FF1A1D23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5A"/>
      <rgbColor rgb="FFD8D4CC"/>
      <rgbColor rgb="FF7A7F94"/>
      <rgbColor rgb="FF9999FF"/>
      <rgbColor rgb="FF993366"/>
      <rgbColor rgb="FFF2F2F2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D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3105</v>
      </c>
      <c r="C5" s="5" t="n">
        <v>500</v>
      </c>
      <c r="D5" s="6" t="n">
        <f aca="false">B5+C5</f>
        <v>3605</v>
      </c>
    </row>
    <row r="6" customFormat="false" ht="15" hidden="false" customHeight="false" outlineLevel="0" collapsed="false">
      <c r="A6" s="7" t="s">
        <v>7</v>
      </c>
      <c r="B6" s="8" t="n">
        <v>2176</v>
      </c>
      <c r="C6" s="8" t="n">
        <v>500</v>
      </c>
      <c r="D6" s="9" t="n">
        <f aca="false">B6+C6</f>
        <v>2676</v>
      </c>
    </row>
    <row r="7" customFormat="false" ht="15" hidden="false" customHeight="false" outlineLevel="0" collapsed="false">
      <c r="A7" s="4" t="s">
        <v>8</v>
      </c>
      <c r="B7" s="5" t="n">
        <v>1201</v>
      </c>
      <c r="C7" s="5" t="n">
        <v>1000</v>
      </c>
      <c r="D7" s="6" t="n">
        <f aca="false">B7+C7</f>
        <v>2201</v>
      </c>
    </row>
    <row r="8" customFormat="false" ht="15" hidden="false" customHeight="false" outlineLevel="0" collapsed="false">
      <c r="A8" s="7" t="s">
        <v>9</v>
      </c>
      <c r="B8" s="8" t="n">
        <v>1081</v>
      </c>
      <c r="C8" s="8" t="n">
        <v>1100</v>
      </c>
      <c r="D8" s="9" t="n">
        <f aca="false">B8+C8</f>
        <v>2181</v>
      </c>
    </row>
    <row r="9" customFormat="false" ht="15" hidden="false" customHeight="false" outlineLevel="0" collapsed="false">
      <c r="A9" s="4" t="s">
        <v>10</v>
      </c>
      <c r="B9" s="5" t="n">
        <v>1470</v>
      </c>
      <c r="C9" s="5" t="n">
        <v>600</v>
      </c>
      <c r="D9" s="6" t="n">
        <f aca="false">B9+C9</f>
        <v>2070</v>
      </c>
    </row>
    <row r="10" customFormat="false" ht="15" hidden="false" customHeight="false" outlineLevel="0" collapsed="false">
      <c r="A10" s="7" t="s">
        <v>11</v>
      </c>
      <c r="B10" s="8" t="n">
        <v>1572</v>
      </c>
      <c r="C10" s="8" t="n">
        <v>400</v>
      </c>
      <c r="D10" s="9" t="n">
        <f aca="false">B10+C10</f>
        <v>1972</v>
      </c>
    </row>
    <row r="11" customFormat="false" ht="15" hidden="false" customHeight="false" outlineLevel="0" collapsed="false">
      <c r="A11" s="4" t="s">
        <v>12</v>
      </c>
      <c r="B11" s="5" t="n">
        <v>1350</v>
      </c>
      <c r="C11" s="5" t="n">
        <v>600</v>
      </c>
      <c r="D11" s="6" t="n">
        <f aca="false">B11+C11</f>
        <v>1950</v>
      </c>
    </row>
    <row r="12" customFormat="false" ht="15" hidden="false" customHeight="false" outlineLevel="0" collapsed="false">
      <c r="A12" s="7" t="s">
        <v>13</v>
      </c>
      <c r="B12" s="8" t="n">
        <v>1400</v>
      </c>
      <c r="C12" s="8" t="n">
        <v>100</v>
      </c>
      <c r="D12" s="9" t="n">
        <f aca="false">B12+C12</f>
        <v>1500</v>
      </c>
    </row>
    <row r="13" customFormat="false" ht="15" hidden="false" customHeight="false" outlineLevel="0" collapsed="false">
      <c r="A13" s="4" t="s">
        <v>14</v>
      </c>
      <c r="B13" s="5" t="n">
        <v>830</v>
      </c>
      <c r="C13" s="5" t="n">
        <v>400</v>
      </c>
      <c r="D13" s="6" t="n">
        <f aca="false">B13+C13</f>
        <v>1230</v>
      </c>
    </row>
    <row r="14" customFormat="false" ht="15" hidden="false" customHeight="false" outlineLevel="0" collapsed="false">
      <c r="A14" s="7" t="s">
        <v>15</v>
      </c>
      <c r="B14" s="8" t="n">
        <v>1216</v>
      </c>
      <c r="C14" s="8" t="n">
        <v>0</v>
      </c>
      <c r="D14" s="9" t="n">
        <f aca="false">B14+C14</f>
        <v>1216</v>
      </c>
    </row>
    <row r="15" customFormat="false" ht="15" hidden="false" customHeight="false" outlineLevel="0" collapsed="false">
      <c r="A15" s="4" t="s">
        <v>16</v>
      </c>
      <c r="B15" s="5" t="n">
        <v>581</v>
      </c>
      <c r="C15" s="5" t="n">
        <v>600</v>
      </c>
      <c r="D15" s="6" t="n">
        <f aca="false">B15+C15</f>
        <v>1181</v>
      </c>
    </row>
    <row r="16" customFormat="false" ht="15" hidden="false" customHeight="false" outlineLevel="0" collapsed="false">
      <c r="A16" s="7" t="s">
        <v>17</v>
      </c>
      <c r="B16" s="8" t="n">
        <v>832</v>
      </c>
      <c r="C16" s="8" t="n">
        <v>300</v>
      </c>
      <c r="D16" s="9" t="n">
        <f aca="false">B16+C16</f>
        <v>1132</v>
      </c>
    </row>
    <row r="17" customFormat="false" ht="15" hidden="false" customHeight="false" outlineLevel="0" collapsed="false">
      <c r="A17" s="4" t="s">
        <v>18</v>
      </c>
      <c r="B17" s="5" t="n">
        <v>804</v>
      </c>
      <c r="C17" s="5" t="n">
        <v>300</v>
      </c>
      <c r="D17" s="6" t="n">
        <f aca="false">B17+C17</f>
        <v>1104</v>
      </c>
    </row>
    <row r="18" customFormat="false" ht="15" hidden="false" customHeight="false" outlineLevel="0" collapsed="false">
      <c r="A18" s="7" t="s">
        <v>19</v>
      </c>
      <c r="B18" s="8" t="n">
        <v>554</v>
      </c>
      <c r="C18" s="8" t="n">
        <v>400</v>
      </c>
      <c r="D18" s="9" t="n">
        <f aca="false">B18+C18</f>
        <v>954</v>
      </c>
    </row>
    <row r="19" customFormat="false" ht="15" hidden="false" customHeight="false" outlineLevel="0" collapsed="false">
      <c r="A19" s="4" t="s">
        <v>20</v>
      </c>
      <c r="B19" s="5" t="n">
        <v>197</v>
      </c>
      <c r="C19" s="5" t="n">
        <v>600</v>
      </c>
      <c r="D19" s="6" t="n">
        <f aca="false">B19+C19</f>
        <v>797</v>
      </c>
    </row>
    <row r="20" customFormat="false" ht="15" hidden="false" customHeight="false" outlineLevel="0" collapsed="false">
      <c r="A20" s="7" t="s">
        <v>21</v>
      </c>
      <c r="B20" s="8" t="n">
        <v>324</v>
      </c>
      <c r="C20" s="8" t="n">
        <v>400</v>
      </c>
      <c r="D20" s="9" t="n">
        <f aca="false">B20+C20</f>
        <v>724</v>
      </c>
    </row>
    <row r="21" customFormat="false" ht="15" hidden="false" customHeight="false" outlineLevel="0" collapsed="false">
      <c r="A21" s="4" t="s">
        <v>22</v>
      </c>
      <c r="B21" s="5" t="n">
        <v>607</v>
      </c>
      <c r="C21" s="5" t="n">
        <v>100</v>
      </c>
      <c r="D21" s="6" t="n">
        <f aca="false">B21+C21</f>
        <v>707</v>
      </c>
    </row>
    <row r="22" customFormat="false" ht="15" hidden="false" customHeight="false" outlineLevel="0" collapsed="false">
      <c r="A22" s="7" t="s">
        <v>23</v>
      </c>
      <c r="B22" s="8" t="n">
        <v>335</v>
      </c>
      <c r="C22" s="8" t="n">
        <v>300</v>
      </c>
      <c r="D22" s="9" t="n">
        <f aca="false">B22+C22</f>
        <v>635</v>
      </c>
    </row>
    <row r="23" customFormat="false" ht="15" hidden="false" customHeight="false" outlineLevel="0" collapsed="false">
      <c r="A23" s="4" t="s">
        <v>24</v>
      </c>
      <c r="B23" s="5" t="n">
        <v>428</v>
      </c>
      <c r="C23" s="5" t="n">
        <v>100</v>
      </c>
      <c r="D23" s="6" t="n">
        <f aca="false">B23+C23</f>
        <v>528</v>
      </c>
    </row>
    <row r="24" customFormat="false" ht="15" hidden="false" customHeight="false" outlineLevel="0" collapsed="false">
      <c r="A24" s="7" t="s">
        <v>25</v>
      </c>
      <c r="B24" s="8" t="n">
        <v>163</v>
      </c>
      <c r="C24" s="8" t="n">
        <v>300</v>
      </c>
      <c r="D24" s="9" t="n">
        <f aca="false">B24+C24</f>
        <v>463</v>
      </c>
    </row>
    <row r="25" customFormat="false" ht="15" hidden="false" customHeight="false" outlineLevel="0" collapsed="false">
      <c r="A25" s="4" t="s">
        <v>26</v>
      </c>
      <c r="B25" s="5" t="n">
        <v>127</v>
      </c>
      <c r="C25" s="5" t="n">
        <v>300</v>
      </c>
      <c r="D25" s="6" t="n">
        <f aca="false">B25+C25</f>
        <v>427</v>
      </c>
    </row>
    <row r="26" customFormat="false" ht="15" hidden="false" customHeight="false" outlineLevel="0" collapsed="false">
      <c r="A26" s="7" t="s">
        <v>27</v>
      </c>
      <c r="B26" s="8" t="n">
        <v>0</v>
      </c>
      <c r="C26" s="8" t="n">
        <v>400</v>
      </c>
      <c r="D26" s="9" t="n">
        <f aca="false">B26+C26</f>
        <v>400</v>
      </c>
    </row>
    <row r="27" customFormat="false" ht="15" hidden="false" customHeight="false" outlineLevel="0" collapsed="false">
      <c r="A27" s="4" t="s">
        <v>28</v>
      </c>
      <c r="B27" s="5" t="n">
        <v>92</v>
      </c>
      <c r="C27" s="5" t="n">
        <v>300</v>
      </c>
      <c r="D27" s="6" t="n">
        <f aca="false">B27+C27</f>
        <v>392</v>
      </c>
    </row>
    <row r="28" customFormat="false" ht="15" hidden="false" customHeight="false" outlineLevel="0" collapsed="false">
      <c r="A28" s="7" t="s">
        <v>29</v>
      </c>
      <c r="B28" s="8" t="n">
        <v>75</v>
      </c>
      <c r="C28" s="8" t="n">
        <v>300</v>
      </c>
      <c r="D28" s="9" t="n">
        <f aca="false">B28+C28</f>
        <v>375</v>
      </c>
    </row>
    <row r="29" customFormat="false" ht="15" hidden="false" customHeight="false" outlineLevel="0" collapsed="false">
      <c r="A29" s="4" t="s">
        <v>30</v>
      </c>
      <c r="B29" s="5" t="n">
        <v>253</v>
      </c>
      <c r="C29" s="5" t="n">
        <v>100</v>
      </c>
      <c r="D29" s="6" t="n">
        <f aca="false">B29+C29</f>
        <v>353</v>
      </c>
    </row>
    <row r="30" customFormat="false" ht="15" hidden="false" customHeight="false" outlineLevel="0" collapsed="false">
      <c r="A30" s="7" t="s">
        <v>31</v>
      </c>
      <c r="B30" s="8" t="n">
        <v>140</v>
      </c>
      <c r="C30" s="8" t="n">
        <v>200</v>
      </c>
      <c r="D30" s="9" t="n">
        <f aca="false">B30+C30</f>
        <v>340</v>
      </c>
    </row>
    <row r="31" customFormat="false" ht="15" hidden="false" customHeight="false" outlineLevel="0" collapsed="false">
      <c r="A31" s="4" t="s">
        <v>32</v>
      </c>
      <c r="B31" s="5" t="n">
        <v>39</v>
      </c>
      <c r="C31" s="5" t="n">
        <v>300</v>
      </c>
      <c r="D31" s="6" t="n">
        <f aca="false">B31+C31</f>
        <v>339</v>
      </c>
    </row>
    <row r="32" customFormat="false" ht="15" hidden="false" customHeight="false" outlineLevel="0" collapsed="false">
      <c r="A32" s="7" t="s">
        <v>33</v>
      </c>
      <c r="B32" s="8" t="n">
        <v>211</v>
      </c>
      <c r="C32" s="8" t="n">
        <v>100</v>
      </c>
      <c r="D32" s="9" t="n">
        <f aca="false">B32+C32</f>
        <v>311</v>
      </c>
    </row>
    <row r="33" customFormat="false" ht="15" hidden="false" customHeight="false" outlineLevel="0" collapsed="false">
      <c r="A33" s="4" t="s">
        <v>34</v>
      </c>
      <c r="B33" s="5" t="n">
        <v>189</v>
      </c>
      <c r="C33" s="5" t="n">
        <v>100</v>
      </c>
      <c r="D33" s="6" t="n">
        <f aca="false">B33+C33</f>
        <v>289</v>
      </c>
    </row>
    <row r="34" customFormat="false" ht="15" hidden="false" customHeight="false" outlineLevel="0" collapsed="false">
      <c r="A34" s="7" t="s">
        <v>35</v>
      </c>
      <c r="B34" s="8" t="n">
        <v>273</v>
      </c>
      <c r="C34" s="8" t="n">
        <v>0</v>
      </c>
      <c r="D34" s="9" t="n">
        <f aca="false">B34+C34</f>
        <v>273</v>
      </c>
    </row>
    <row r="35" customFormat="false" ht="15" hidden="false" customHeight="false" outlineLevel="0" collapsed="false">
      <c r="A35" s="4" t="s">
        <v>36</v>
      </c>
      <c r="B35" s="5" t="n">
        <v>44</v>
      </c>
      <c r="C35" s="5" t="n">
        <v>200</v>
      </c>
      <c r="D35" s="6" t="n">
        <f aca="false">B35+C35</f>
        <v>244</v>
      </c>
    </row>
    <row r="36" customFormat="false" ht="15" hidden="false" customHeight="false" outlineLevel="0" collapsed="false">
      <c r="A36" s="7" t="s">
        <v>37</v>
      </c>
      <c r="B36" s="8" t="n">
        <v>133</v>
      </c>
      <c r="C36" s="8" t="n">
        <v>100</v>
      </c>
      <c r="D36" s="9" t="n">
        <f aca="false">B36+C36</f>
        <v>233</v>
      </c>
    </row>
    <row r="37" customFormat="false" ht="15" hidden="false" customHeight="false" outlineLevel="0" collapsed="false">
      <c r="A37" s="4" t="s">
        <v>38</v>
      </c>
      <c r="B37" s="5" t="n">
        <v>20</v>
      </c>
      <c r="C37" s="5" t="n">
        <v>200</v>
      </c>
      <c r="D37" s="6" t="n">
        <f aca="false">B37+C37</f>
        <v>220</v>
      </c>
    </row>
    <row r="38" customFormat="false" ht="15" hidden="false" customHeight="false" outlineLevel="0" collapsed="false">
      <c r="A38" s="7" t="s">
        <v>39</v>
      </c>
      <c r="B38" s="8" t="n">
        <v>76</v>
      </c>
      <c r="C38" s="8" t="n">
        <v>100</v>
      </c>
      <c r="D38" s="9" t="n">
        <f aca="false">B38+C38</f>
        <v>176</v>
      </c>
    </row>
    <row r="39" customFormat="false" ht="15" hidden="false" customHeight="false" outlineLevel="0" collapsed="false">
      <c r="A39" s="4" t="s">
        <v>40</v>
      </c>
      <c r="B39" s="5" t="n">
        <v>70</v>
      </c>
      <c r="C39" s="5" t="n">
        <v>100</v>
      </c>
      <c r="D39" s="6" t="n">
        <f aca="false">B39+C39</f>
        <v>170</v>
      </c>
    </row>
    <row r="40" customFormat="false" ht="15" hidden="false" customHeight="false" outlineLevel="0" collapsed="false">
      <c r="A40" s="7" t="s">
        <v>41</v>
      </c>
      <c r="B40" s="8" t="n">
        <v>60</v>
      </c>
      <c r="C40" s="8" t="n">
        <v>100</v>
      </c>
      <c r="D40" s="9" t="n">
        <f aca="false">B40+C40</f>
        <v>160</v>
      </c>
    </row>
    <row r="41" customFormat="false" ht="15" hidden="false" customHeight="false" outlineLevel="0" collapsed="false">
      <c r="A41" s="4" t="s">
        <v>42</v>
      </c>
      <c r="B41" s="5" t="n">
        <v>55</v>
      </c>
      <c r="C41" s="5" t="n">
        <v>100</v>
      </c>
      <c r="D41" s="6" t="n">
        <f aca="false">B41+C41</f>
        <v>155</v>
      </c>
    </row>
    <row r="42" customFormat="false" ht="15" hidden="false" customHeight="false" outlineLevel="0" collapsed="false">
      <c r="A42" s="7" t="s">
        <v>43</v>
      </c>
      <c r="B42" s="8" t="n">
        <v>48</v>
      </c>
      <c r="C42" s="8" t="n">
        <v>100</v>
      </c>
      <c r="D42" s="9" t="n">
        <f aca="false">B42+C42</f>
        <v>148</v>
      </c>
    </row>
    <row r="43" customFormat="false" ht="15" hidden="false" customHeight="false" outlineLevel="0" collapsed="false">
      <c r="A43" s="4" t="s">
        <v>44</v>
      </c>
      <c r="B43" s="5" t="n">
        <v>35</v>
      </c>
      <c r="C43" s="5" t="n">
        <v>100</v>
      </c>
      <c r="D43" s="6" t="n">
        <f aca="false">B43+C43</f>
        <v>135</v>
      </c>
    </row>
    <row r="44" customFormat="false" ht="15" hidden="false" customHeight="false" outlineLevel="0" collapsed="false">
      <c r="A44" s="7" t="s">
        <v>45</v>
      </c>
      <c r="B44" s="8" t="n">
        <v>10</v>
      </c>
      <c r="C44" s="8" t="n">
        <v>100</v>
      </c>
      <c r="D44" s="9" t="n">
        <f aca="false">B44+C44</f>
        <v>110</v>
      </c>
    </row>
    <row r="45" customFormat="false" ht="15" hidden="false" customHeight="false" outlineLevel="0" collapsed="false">
      <c r="A45" s="4" t="s">
        <v>46</v>
      </c>
      <c r="B45" s="5" t="n">
        <v>0</v>
      </c>
      <c r="C45" s="5" t="n">
        <v>100</v>
      </c>
      <c r="D45" s="6" t="n">
        <f aca="false">B45+C45</f>
        <v>100</v>
      </c>
    </row>
    <row r="46" customFormat="false" ht="15" hidden="false" customHeight="false" outlineLevel="0" collapsed="false">
      <c r="A46" s="7" t="s">
        <v>47</v>
      </c>
      <c r="B46" s="8" t="n">
        <v>0</v>
      </c>
      <c r="C46" s="8" t="n">
        <v>100</v>
      </c>
      <c r="D46" s="9" t="n">
        <f aca="false">B46+C46</f>
        <v>100</v>
      </c>
    </row>
    <row r="47" customFormat="false" ht="15" hidden="false" customHeight="false" outlineLevel="0" collapsed="false">
      <c r="A47" s="4" t="s">
        <v>48</v>
      </c>
      <c r="B47" s="5" t="n">
        <v>60</v>
      </c>
      <c r="C47" s="5" t="n">
        <v>0</v>
      </c>
      <c r="D47" s="6" t="n">
        <f aca="false">B47+C47</f>
        <v>60</v>
      </c>
    </row>
    <row r="48" customFormat="false" ht="15" hidden="false" customHeight="false" outlineLevel="0" collapsed="false">
      <c r="A48" s="7" t="s">
        <v>49</v>
      </c>
      <c r="B48" s="8" t="n">
        <v>57</v>
      </c>
      <c r="C48" s="8" t="n">
        <v>0</v>
      </c>
      <c r="D48" s="9" t="n">
        <f aca="false">B48+C48</f>
        <v>57</v>
      </c>
    </row>
    <row r="49" customFormat="false" ht="15" hidden="false" customHeight="false" outlineLevel="0" collapsed="false">
      <c r="A49" s="4" t="s">
        <v>50</v>
      </c>
      <c r="B49" s="5" t="n">
        <v>55</v>
      </c>
      <c r="C49" s="5" t="n">
        <v>0</v>
      </c>
      <c r="D49" s="6" t="n">
        <f aca="false">B49+C49</f>
        <v>55</v>
      </c>
    </row>
    <row r="50" customFormat="false" ht="15" hidden="false" customHeight="false" outlineLevel="0" collapsed="false">
      <c r="A50" s="7" t="s">
        <v>51</v>
      </c>
      <c r="B50" s="8" t="n">
        <v>38</v>
      </c>
      <c r="C50" s="8" t="n">
        <v>0</v>
      </c>
      <c r="D50" s="9" t="n">
        <f aca="false">B50+C50</f>
        <v>38</v>
      </c>
    </row>
    <row r="51" customFormat="false" ht="15" hidden="false" customHeight="false" outlineLevel="0" collapsed="false">
      <c r="A51" s="4" t="s">
        <v>52</v>
      </c>
      <c r="B51" s="5" t="n">
        <v>38</v>
      </c>
      <c r="C51" s="5" t="n">
        <v>0</v>
      </c>
      <c r="D51" s="6" t="n">
        <f aca="false">B51+C51</f>
        <v>38</v>
      </c>
    </row>
    <row r="52" customFormat="false" ht="15" hidden="false" customHeight="false" outlineLevel="0" collapsed="false">
      <c r="A52" s="7" t="s">
        <v>53</v>
      </c>
      <c r="B52" s="8" t="n">
        <v>19</v>
      </c>
      <c r="C52" s="8" t="n">
        <v>0</v>
      </c>
      <c r="D52" s="9" t="n">
        <f aca="false">B52+C52</f>
        <v>19</v>
      </c>
    </row>
    <row r="53" customFormat="false" ht="15" hidden="false" customHeight="false" outlineLevel="0" collapsed="false">
      <c r="A53" s="4" t="s">
        <v>54</v>
      </c>
      <c r="B53" s="5" t="n">
        <v>7</v>
      </c>
      <c r="C53" s="5" t="n">
        <v>0</v>
      </c>
      <c r="D53" s="6" t="n">
        <f aca="false">B53+C53</f>
        <v>7</v>
      </c>
    </row>
    <row r="54" customFormat="false" ht="15" hidden="false" customHeight="false" outlineLevel="0" collapsed="false">
      <c r="A54" s="7" t="s">
        <v>55</v>
      </c>
      <c r="B54" s="8" t="n">
        <v>6</v>
      </c>
      <c r="C54" s="8" t="n">
        <v>0</v>
      </c>
      <c r="D54" s="9" t="n">
        <f aca="false">B54+C54</f>
        <v>6</v>
      </c>
    </row>
    <row r="55" customFormat="false" ht="15" hidden="false" customHeight="false" outlineLevel="0" collapsed="false">
      <c r="A55" s="4" t="s">
        <v>56</v>
      </c>
      <c r="B55" s="5" t="n">
        <v>0</v>
      </c>
      <c r="C55" s="5" t="n">
        <v>0</v>
      </c>
      <c r="D55" s="6" t="n">
        <f aca="false">B55+C55</f>
        <v>0</v>
      </c>
    </row>
    <row r="56" customFormat="false" ht="15" hidden="false" customHeight="false" outlineLevel="0" collapsed="false">
      <c r="A56" s="7" t="s">
        <v>57</v>
      </c>
      <c r="B56" s="8" t="n">
        <v>0</v>
      </c>
      <c r="C56" s="8" t="n">
        <v>0</v>
      </c>
      <c r="D56" s="9" t="n">
        <f aca="false">B56+C56</f>
        <v>0</v>
      </c>
    </row>
    <row r="57" customFormat="false" ht="15" hidden="false" customHeight="false" outlineLevel="0" collapsed="false">
      <c r="A57" s="4" t="s">
        <v>58</v>
      </c>
      <c r="B57" s="5" t="n">
        <v>0</v>
      </c>
      <c r="C57" s="5" t="n">
        <v>0</v>
      </c>
      <c r="D57" s="6" t="n">
        <f aca="false">B57+C57</f>
        <v>0</v>
      </c>
    </row>
    <row r="58" customFormat="false" ht="15" hidden="false" customHeight="false" outlineLevel="0" collapsed="false">
      <c r="A58" s="7" t="s">
        <v>59</v>
      </c>
      <c r="B58" s="8" t="n">
        <v>0</v>
      </c>
      <c r="C58" s="8" t="n">
        <v>0</v>
      </c>
      <c r="D58" s="9" t="n">
        <f aca="false">B58+C58</f>
        <v>0</v>
      </c>
    </row>
    <row r="59" customFormat="false" ht="15" hidden="false" customHeight="false" outlineLevel="0" collapsed="false">
      <c r="A59" s="4" t="s">
        <v>60</v>
      </c>
      <c r="B59" s="5" t="n">
        <v>0</v>
      </c>
      <c r="C59" s="5" t="n">
        <v>0</v>
      </c>
      <c r="D59" s="6" t="n">
        <f aca="false">B59+C59</f>
        <v>0</v>
      </c>
    </row>
    <row r="60" customFormat="false" ht="15" hidden="false" customHeight="false" outlineLevel="0" collapsed="false">
      <c r="A60" s="10" t="s">
        <v>61</v>
      </c>
      <c r="B60" s="11" t="n">
        <f aca="false">SUM(B5:B59)</f>
        <v>22456</v>
      </c>
      <c r="C60" s="11" t="n">
        <f aca="false">SUM(C5:C59)</f>
        <v>12100</v>
      </c>
      <c r="D60" s="11" t="n">
        <f aca="false">SUM(D5:D59)</f>
        <v>34556</v>
      </c>
    </row>
    <row r="62" customFormat="false" ht="15" hidden="false" customHeight="false" outlineLevel="0" collapsed="false">
      <c r="A62" s="12" t="s">
        <v>62</v>
      </c>
      <c r="B62" s="12"/>
      <c r="C62" s="12"/>
      <c r="D62" s="12"/>
    </row>
  </sheetData>
  <mergeCells count="3">
    <mergeCell ref="A1:D1"/>
    <mergeCell ref="A2:D2"/>
    <mergeCell ref="A62:D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2026-06-30T15:17:18Z</dcterms:created>
  <dc:creator>openpyxl</dc:creator>
  <dc:description/>
  <dc:language>en-US</dc:language>
  <cp:lastModifiedBy/>
  <dcterms:modified xsi:type="dcterms:W3CDTF">2026-06-30T15:17:18Z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